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662B80-16A5-4E8E-A6C4-EA9ED78900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H52" i="3"/>
  <c r="E46" i="3"/>
  <c r="H5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E48" i="3"/>
  <c r="E44" i="3"/>
  <c r="E42" i="3"/>
  <c r="E40" i="3"/>
</calcChain>
</file>

<file path=xl/sharedStrings.xml><?xml version="1.0" encoding="utf-8"?>
<sst xmlns="http://schemas.openxmlformats.org/spreadsheetml/2006/main" count="312" uniqueCount="114">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</sst>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H25" sqref="H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workbookViewId="0">
      <selection activeCell="D36" sqref="D3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FD95-2AEE-446C-89BD-CDB1901A7C6D}">
  <dimension ref="A1:J52"/>
  <sheetViews>
    <sheetView workbookViewId="0">
      <selection activeCell="M13" sqref="M13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3.33203125" bestFit="1" customWidth="1"/>
    <col min="9" max="9" width="13.33203125" bestFit="1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</row>
    <row r="2" spans="1:10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H2" s="10" t="str">
        <f>LEFT(A2,2)</f>
        <v>28</v>
      </c>
      <c r="I2" s="10" t="str">
        <f>RIGHT(A2,2)</f>
        <v>US</v>
      </c>
      <c r="J2" s="10" t="str">
        <f>MID(A2,4,3)</f>
        <v>JAN</v>
      </c>
    </row>
    <row r="3" spans="1:10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s="10" t="str">
        <f t="shared" ref="H3:H35" si="1">LEFT(A3,2)</f>
        <v>15</v>
      </c>
      <c r="I3" s="10" t="str">
        <f t="shared" ref="I3:I35" si="2">RIGHT(A3,2)</f>
        <v>US</v>
      </c>
      <c r="J3" s="10" t="str">
        <f t="shared" ref="J3:J35" si="3">MID(A3,4,3)</f>
        <v>FEB</v>
      </c>
    </row>
    <row r="4" spans="1:10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  <c r="H4" s="10" t="str">
        <f t="shared" si="1"/>
        <v>03</v>
      </c>
      <c r="I4" s="10" t="str">
        <f t="shared" si="2"/>
        <v>US</v>
      </c>
      <c r="J4" s="10" t="str">
        <f t="shared" si="3"/>
        <v>MAR</v>
      </c>
    </row>
    <row r="5" spans="1:10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  <c r="H5" s="10" t="str">
        <f t="shared" si="1"/>
        <v>11</v>
      </c>
      <c r="I5" s="10" t="str">
        <f t="shared" si="2"/>
        <v>US</v>
      </c>
      <c r="J5" s="10" t="str">
        <f t="shared" si="3"/>
        <v>APR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  <c r="H6" s="10" t="str">
        <f t="shared" si="1"/>
        <v>22</v>
      </c>
      <c r="I6" s="10" t="str">
        <f t="shared" si="2"/>
        <v>US</v>
      </c>
      <c r="J6" s="10" t="str">
        <f t="shared" si="3"/>
        <v>MAY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  <c r="H7" s="10" t="str">
        <f t="shared" si="1"/>
        <v>07</v>
      </c>
      <c r="I7" s="10" t="str">
        <f t="shared" si="2"/>
        <v>UK</v>
      </c>
      <c r="J7" s="10" t="str">
        <f t="shared" si="3"/>
        <v>JUN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  <c r="H8" s="10" t="str">
        <f t="shared" si="1"/>
        <v>19</v>
      </c>
      <c r="I8" s="10" t="str">
        <f t="shared" si="2"/>
        <v>UK</v>
      </c>
      <c r="J8" s="10" t="str">
        <f t="shared" si="3"/>
        <v>JUL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  <c r="H9" s="10" t="str">
        <f t="shared" si="1"/>
        <v>23</v>
      </c>
      <c r="I9" s="10" t="str">
        <f t="shared" si="2"/>
        <v>UK</v>
      </c>
      <c r="J9" s="10" t="str">
        <f t="shared" si="3"/>
        <v>AUG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  <c r="H10" s="10" t="str">
        <f t="shared" si="1"/>
        <v>05</v>
      </c>
      <c r="I10" s="10" t="str">
        <f t="shared" si="2"/>
        <v>UK</v>
      </c>
      <c r="J10" s="10" t="str">
        <f t="shared" si="3"/>
        <v>SEP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  <c r="H11" s="10" t="str">
        <f t="shared" si="1"/>
        <v>14</v>
      </c>
      <c r="I11" s="10" t="str">
        <f t="shared" si="2"/>
        <v>UK</v>
      </c>
      <c r="J11" s="10" t="str">
        <f t="shared" si="3"/>
        <v>OCT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  <c r="H12" s="10" t="str">
        <f t="shared" si="1"/>
        <v>17</v>
      </c>
      <c r="I12" s="10" t="str">
        <f t="shared" si="2"/>
        <v>IN</v>
      </c>
      <c r="J12" s="10" t="str">
        <f t="shared" si="3"/>
        <v>JUN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  <c r="H13" s="10" t="str">
        <f t="shared" si="1"/>
        <v>25</v>
      </c>
      <c r="I13" s="10" t="str">
        <f t="shared" si="2"/>
        <v>AU</v>
      </c>
      <c r="J13" s="10" t="str">
        <f t="shared" si="3"/>
        <v>NOV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  <c r="H14" s="10" t="str">
        <f t="shared" si="1"/>
        <v>08</v>
      </c>
      <c r="I14" s="10" t="str">
        <f t="shared" si="2"/>
        <v>DE</v>
      </c>
      <c r="J14" s="10" t="str">
        <f t="shared" si="3"/>
        <v>DEC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  <c r="H15" s="10" t="str">
        <f t="shared" si="1"/>
        <v>18</v>
      </c>
      <c r="I15" s="10" t="str">
        <f t="shared" si="2"/>
        <v>CA</v>
      </c>
      <c r="J15" s="10" t="str">
        <f t="shared" si="3"/>
        <v>FEB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  <c r="H16" s="10" t="str">
        <f t="shared" si="1"/>
        <v>16</v>
      </c>
      <c r="I16" s="10" t="str">
        <f t="shared" si="2"/>
        <v>ES</v>
      </c>
      <c r="J16" s="10" t="str">
        <f t="shared" si="3"/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  <c r="H17" s="10" t="str">
        <f t="shared" si="1"/>
        <v>21</v>
      </c>
      <c r="I17" s="10" t="str">
        <f t="shared" si="2"/>
        <v>CA</v>
      </c>
      <c r="J17" s="10" t="str">
        <f t="shared" si="3"/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  <c r="H18" s="10" t="str">
        <f t="shared" si="1"/>
        <v>20</v>
      </c>
      <c r="I18" s="10" t="str">
        <f t="shared" si="2"/>
        <v>CN</v>
      </c>
      <c r="J18" s="10" t="str">
        <f t="shared" si="3"/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  <c r="H19" s="10" t="str">
        <f t="shared" si="1"/>
        <v>27</v>
      </c>
      <c r="I19" s="10" t="str">
        <f t="shared" si="2"/>
        <v>IT</v>
      </c>
      <c r="J19" s="10" t="str">
        <f t="shared" si="3"/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  <c r="H20" s="10" t="str">
        <f t="shared" si="1"/>
        <v>01</v>
      </c>
      <c r="I20" s="10" t="str">
        <f t="shared" si="2"/>
        <v>UK</v>
      </c>
      <c r="J20" s="10" t="str">
        <f t="shared" si="3"/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  <c r="H21" s="10" t="str">
        <f t="shared" si="1"/>
        <v>14</v>
      </c>
      <c r="I21" s="10" t="str">
        <f t="shared" si="2"/>
        <v>US</v>
      </c>
      <c r="J21" s="10" t="str">
        <f t="shared" si="3"/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  <c r="H22" s="10" t="str">
        <f t="shared" si="1"/>
        <v>14</v>
      </c>
      <c r="I22" s="10" t="str">
        <f t="shared" si="2"/>
        <v>RU</v>
      </c>
      <c r="J22" s="10" t="str">
        <f t="shared" si="3"/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  <c r="H23" s="10" t="str">
        <f t="shared" si="1"/>
        <v>09</v>
      </c>
      <c r="I23" s="10" t="str">
        <f t="shared" si="2"/>
        <v>CA</v>
      </c>
      <c r="J23" s="10" t="str">
        <f t="shared" si="3"/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  <c r="H24" s="10" t="str">
        <f t="shared" si="1"/>
        <v>19</v>
      </c>
      <c r="I24" s="10" t="str">
        <f t="shared" si="2"/>
        <v>BR</v>
      </c>
      <c r="J24" s="10" t="str">
        <f t="shared" si="3"/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  <c r="H25" s="10" t="str">
        <f t="shared" si="1"/>
        <v>21</v>
      </c>
      <c r="I25" s="10" t="str">
        <f t="shared" si="2"/>
        <v>CA</v>
      </c>
      <c r="J25" s="10" t="str">
        <f t="shared" si="3"/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  <c r="H26" s="10" t="str">
        <f t="shared" si="1"/>
        <v>29</v>
      </c>
      <c r="I26" s="10" t="str">
        <f t="shared" si="2"/>
        <v>CA</v>
      </c>
      <c r="J26" s="10" t="str">
        <f t="shared" si="3"/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  <c r="H27" s="10" t="str">
        <f t="shared" si="1"/>
        <v>03</v>
      </c>
      <c r="I27" s="10" t="str">
        <f t="shared" si="2"/>
        <v>CA</v>
      </c>
      <c r="J27" s="10" t="str">
        <f t="shared" si="3"/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  <c r="H28" s="10" t="str">
        <f t="shared" si="1"/>
        <v>11</v>
      </c>
      <c r="I28" s="10" t="str">
        <f t="shared" si="2"/>
        <v>CA</v>
      </c>
      <c r="J28" s="10" t="str">
        <f t="shared" si="3"/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  <c r="H29" s="10" t="str">
        <f t="shared" si="1"/>
        <v>16</v>
      </c>
      <c r="I29" s="10" t="str">
        <f t="shared" si="2"/>
        <v>ES</v>
      </c>
      <c r="J29" s="10" t="str">
        <f t="shared" si="3"/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  <c r="H30" s="10" t="str">
        <f t="shared" si="1"/>
        <v>07</v>
      </c>
      <c r="I30" s="10" t="str">
        <f t="shared" si="2"/>
        <v>CA</v>
      </c>
      <c r="J30" s="10" t="str">
        <f t="shared" si="3"/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  <c r="H31" s="10" t="str">
        <f t="shared" si="1"/>
        <v>13</v>
      </c>
      <c r="I31" s="10" t="str">
        <f t="shared" si="2"/>
        <v>CA</v>
      </c>
      <c r="J31" s="10" t="str">
        <f t="shared" si="3"/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  <c r="H32" s="10" t="str">
        <f t="shared" si="1"/>
        <v>24</v>
      </c>
      <c r="I32" s="10" t="str">
        <f t="shared" si="2"/>
        <v>CA</v>
      </c>
      <c r="J32" s="10" t="str">
        <f t="shared" si="3"/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  <c r="H33" s="10" t="str">
        <f t="shared" si="1"/>
        <v>02</v>
      </c>
      <c r="I33" s="10" t="str">
        <f t="shared" si="2"/>
        <v>CA</v>
      </c>
      <c r="J33" s="10" t="str">
        <f t="shared" si="3"/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  <c r="H34" s="10" t="str">
        <f t="shared" si="1"/>
        <v>17</v>
      </c>
      <c r="I34" s="10" t="str">
        <f t="shared" si="2"/>
        <v>IN</v>
      </c>
      <c r="J34" s="10" t="str">
        <f t="shared" si="3"/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  <c r="H35" s="10" t="str">
        <f t="shared" si="1"/>
        <v>09</v>
      </c>
      <c r="I35" s="10" t="str">
        <f t="shared" si="2"/>
        <v>FR</v>
      </c>
      <c r="J35" s="10" t="str">
        <f t="shared" si="3"/>
        <v>JUL</v>
      </c>
    </row>
    <row r="40" spans="1:10" x14ac:dyDescent="0.25">
      <c r="A40" s="11" t="s">
        <v>2</v>
      </c>
      <c r="B40" s="11"/>
      <c r="C40" s="11"/>
      <c r="D40" s="11"/>
      <c r="E40">
        <f>SUM(D2:D35)</f>
        <v>10100</v>
      </c>
    </row>
    <row r="42" spans="1:10" x14ac:dyDescent="0.25">
      <c r="A42" s="12" t="s">
        <v>3</v>
      </c>
      <c r="B42" s="12"/>
      <c r="C42" s="12"/>
      <c r="D42" s="12"/>
      <c r="E42">
        <f>COUNTA(B2:B35)</f>
        <v>34</v>
      </c>
    </row>
    <row r="44" spans="1:10" x14ac:dyDescent="0.25">
      <c r="A44" s="12" t="s">
        <v>4</v>
      </c>
      <c r="B44" s="12"/>
      <c r="C44" s="12"/>
      <c r="E44">
        <f>AVERAGE(D2:D35)</f>
        <v>297.05882352941177</v>
      </c>
    </row>
    <row r="46" spans="1:10" x14ac:dyDescent="0.25">
      <c r="A46" s="12" t="s">
        <v>6</v>
      </c>
      <c r="B46" s="12"/>
      <c r="C46" s="12"/>
      <c r="D46" s="12"/>
      <c r="E46">
        <f>MIN(D2:D35)</f>
        <v>30</v>
      </c>
    </row>
    <row r="48" spans="1:10" x14ac:dyDescent="0.25">
      <c r="A48" s="12" t="s">
        <v>7</v>
      </c>
      <c r="B48" s="12"/>
      <c r="C48" s="12"/>
      <c r="E48">
        <f>MAX(D2:D35)</f>
        <v>1000</v>
      </c>
    </row>
    <row r="50" spans="1:8" x14ac:dyDescent="0.25">
      <c r="A50" s="11" t="s">
        <v>11</v>
      </c>
      <c r="B50" s="11"/>
      <c r="C50" s="11"/>
      <c r="D50" s="11"/>
      <c r="E50" s="11"/>
      <c r="F50" s="11"/>
      <c r="G50" s="11"/>
      <c r="H50">
        <f>SUMIF(F2:F35,"Electronics",D2:D35)</f>
        <v>8050</v>
      </c>
    </row>
    <row r="52" spans="1:8" x14ac:dyDescent="0.25">
      <c r="A52" s="12" t="s">
        <v>12</v>
      </c>
      <c r="B52" s="12"/>
      <c r="C52" s="12"/>
      <c r="D52" s="12"/>
      <c r="E52" s="12"/>
      <c r="F52" s="12"/>
      <c r="G52" s="12"/>
      <c r="H52">
        <f>COUNTIF(D2:D35,"&lt;100")</f>
        <v>11</v>
      </c>
    </row>
  </sheetData>
  <mergeCells count="7">
    <mergeCell ref="A52:G52"/>
    <mergeCell ref="A40:D40"/>
    <mergeCell ref="A50:G50"/>
    <mergeCell ref="A48:C48"/>
    <mergeCell ref="A46:D46"/>
    <mergeCell ref="A44:C44"/>
    <mergeCell ref="A42: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jobin joy</cp:lastModifiedBy>
  <dcterms:modified xsi:type="dcterms:W3CDTF">2026-10-14T16:12:31Z</dcterms:modified>
</cp:coreProperties>
</file>