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CEACE99F-C0C8-466C-A76E-8F793E489394}" xr6:coauthVersionLast="47" xr6:coauthVersionMax="47" xr10:uidLastSave="{00000000-0000-0000-0000-000000000000}"/>
  <bookViews>
    <workbookView xWindow="-108" yWindow="-108" windowWidth="23256" windowHeight="12456" activeTab="2" xr2:uid="{00000000-000D-0000-FFFF-FFFF00000000}"/>
  </bookViews>
  <sheets>
    <sheet name="Instructions" sheetId="1" r:id="rId1"/>
    <sheet name="Dataset" sheetId="2" r:id="rId2"/>
    <sheet name="Summary"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IR6213FxEpgZ/k1UDjxyMHI45/G9Bc960XOAAH4UN4="/>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2" i="2"/>
  <c r="A35" i="2"/>
</calcChain>
</file>

<file path=xl/sharedStrings.xml><?xml version="1.0" encoding="utf-8"?>
<sst xmlns="http://schemas.openxmlformats.org/spreadsheetml/2006/main" count="181" uniqueCount="144">
  <si>
    <t>Perform the following in the dataset from the 'Dataset' sheet.</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</si>
  <si>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</si>
  <si>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</si>
  <si>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</si>
  <si>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</si>
  <si>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</si>
  <si>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</si>
  <si>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</si>
  <si>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</si>
  <si>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</si>
  <si>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</si>
  <si>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</si>
  <si>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</si>
  <si>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</si>
  <si>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</si>
  <si>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</si>
  <si>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</si>
  <si>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</si>
  <si>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</si>
  <si>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Product ID</t>
  </si>
  <si>
    <t>Product Name</t>
  </si>
  <si>
    <t>Brand Name</t>
  </si>
  <si>
    <t>Price ($)</t>
  </si>
  <si>
    <t>Quantity</t>
  </si>
  <si>
    <t>Category</t>
  </si>
  <si>
    <t>28-JAN-US</t>
  </si>
  <si>
    <t>Dell</t>
  </si>
  <si>
    <t>Electronics</t>
  </si>
  <si>
    <t>15-FEB-US</t>
  </si>
  <si>
    <t>Sneakers</t>
  </si>
  <si>
    <t>Nike</t>
  </si>
  <si>
    <t>Fashion</t>
  </si>
  <si>
    <t>03-MAR-US</t>
  </si>
  <si>
    <t>Coffee Maker</t>
  </si>
  <si>
    <t>Keurig</t>
  </si>
  <si>
    <t>Kitchen</t>
  </si>
  <si>
    <t>11-APR-US</t>
  </si>
  <si>
    <t>Samsung</t>
  </si>
  <si>
    <t>22-MAY-US</t>
  </si>
  <si>
    <t>Backpack</t>
  </si>
  <si>
    <t>North Face</t>
  </si>
  <si>
    <t>07-JUN-UK</t>
  </si>
  <si>
    <t>Headphones</t>
  </si>
  <si>
    <t>Sony</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</si>
  <si>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</si>
  <si>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</si>
  <si>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</si>
  <si>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</si>
  <si>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</si>
  <si>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</si>
  <si>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</si>
  <si>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</si>
  <si>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</si>
  <si>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</si>
  <si>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</si>
  <si>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</si>
  <si>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</si>
  <si>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</si>
  <si>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</si>
  <si>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</si>
  <si>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</si>
  <si>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</si>
  <si>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</si>
  <si>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</si>
  <si>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</si>
  <si>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</si>
  <si>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</si>
  <si>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</si>
  <si>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</si>
  <si>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</si>
  <si>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</si>
  <si>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</si>
  <si>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</si>
  <si>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</si>
  <si>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</si>
  <si>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</si>
  <si>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</si>
  <si>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</si>
  <si>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</si>
  <si>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</si>
  <si>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</si>
  <si>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</si>
  <si>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</si>
  <si>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</si>
  <si>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</si>
  <si>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</si>
  <si>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</si>
  <si>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</si>
  <si>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</si>
  <si>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</si>
  <si>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</si>
  <si>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</si>
  <si>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</si>
  <si>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</si>
  <si>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</si>
  <si>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</si>
  <si>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</si>
  <si>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</si>
  <si>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</si>
  <si>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</si>
  <si>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</si>
  <si>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</si>
  <si>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</si>
  <si>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</si>
  <si>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</si>
  <si>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</si>
  <si>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</si>
  <si>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</si>
  <si>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</si>
  <si>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</si>
  <si>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</si>
  <si>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</si>
  <si>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Calculated the median of the Price column using Excel's MEDIAN() function. Replaced all missing price values with the calculated median of $130.</t>
  </si>
  <si>
    <t>Manufacturing Date</t>
  </si>
  <si>
    <t>Country code</t>
  </si>
  <si>
    <t>Product Brand</t>
  </si>
  <si>
    <t>1. Handling Missing Values</t>
  </si>
  <si>
    <t>1.1. How would you handle products with missing price information?</t>
  </si>
  <si>
    <t>1.2. If there are products with missing categories, propose a strategy to impute or deal with these missing values effectively.</t>
  </si>
  <si>
    <t>Checked the Product Name and Brand Name to identify the appropriate category for products with missing categories. If the category could not be determined, it would be marked as "Unknown" rather than guessing.</t>
  </si>
  <si>
    <t>2. Correcting Inconsistent Data</t>
  </si>
  <si>
    <t>2.1. Identify inconsistent text formats in the Product Name column.</t>
  </si>
  <si>
    <t>Identified inconsistent capitalization in product names, such as "laptop" and "Laptop", "smartphone" and "Smartphone", and "headphones" and "Headphones".</t>
  </si>
  <si>
    <t>2.2. Identify typos in the Category column.</t>
  </si>
  <si>
    <t>Identified spelling inconsistencies in the Category column, such as "Electroni" instead of "Electronics".</t>
  </si>
  <si>
    <t>2.3. Standardize Product Names and correct Category typos.</t>
  </si>
  <si>
    <t>Used Excel's Find and Replace (Ctrl + H) to standardize Product Name capitalization and correct spelling mistakes in the Category column.</t>
  </si>
  <si>
    <t>3. Removing Duplicates</t>
  </si>
  <si>
    <t>Selected the entire dataset and used Data → Remove Duplicates, selecting all columns to identify and remove duplicate rows.</t>
  </si>
  <si>
    <t>4. Splitting and Merging Data</t>
  </si>
  <si>
    <t>4.1. Split Product ID into Manufacturing Date and Country Code.</t>
  </si>
  <si>
    <t>Extracted the date portion and country code from the Product ID column into separate columns named Manufacturing Date and Country Code.</t>
  </si>
  <si>
    <t>4.2. Merge Brand Name and Product Name into a single column named Product Brand.</t>
  </si>
  <si>
    <t>Combined the Brand Name and Product Name columns into a single column named Product Brand using Excel's concatenation formula.</t>
  </si>
  <si>
    <t>5. Number Formatting</t>
  </si>
  <si>
    <t>5.1. Format the Price column as currency.</t>
  </si>
  <si>
    <t>Formatted the Price column as currency using the dollar ($) symbol with two decimal places.</t>
  </si>
  <si>
    <t>5.2. Format the Manufacturing Date column as DD-MM-YYYY.</t>
  </si>
  <si>
    <t>Formatted the Manufacturing Date column to display dates in the DD-MM-YYYY format.</t>
  </si>
  <si>
    <t>6. Conditional Formatting</t>
  </si>
  <si>
    <t>6.1. Apply Data Bars to the Price column.</t>
  </si>
  <si>
    <t>Applied conditional formatting using Data Bars to the Price column to visually compare product prices.</t>
  </si>
  <si>
    <t>6.2. Highlight Electronics in the Category column.</t>
  </si>
  <si>
    <t>Applied conditional formatting to highlight cells containing "Electronics" in the Category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</si>
</sst>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409]#,##0.00"/>
  </numFmts>
  <fonts count="10" x14ac:knownFonts="1">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sz val="10"/>
      <color theme="1"/>
      <name val="Arial"/>
    </font>
    <font>
      <sz val="11"/>
      <color theme="1"/>
      <name val="Times New Roman"/>
    </font>
    <font>
      <b/>
      <sz val="10"/>
      <color theme="1"/>
      <name val="Arial"/>
    </font>
    <font>
      <sz val="10"/>
      <color theme="1"/>
      <name val="Arial"/>
      <family val="2"/>
    </font>
    <font>
      <b/>
      <sz val="10"/>
      <color theme="1"/>
      <name val="Arial"/>
      <family val="2"/>
    </font>
  </fonts>
  <fills count="5">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0"/>
        <bgColor rgb="FF4DD0E1"/>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3" borderId="0" xfId="0" applyFont="1" applyFill="1"/>
    <xf numFmtId="0" fontId="5" fillId="0" borderId="0" xfId="0" applyFont="1" applyAlignment="1">
      <alignment wrapText="1"/>
    </xf>
    <xf numFmtId="0" fontId="0" fillId="0" borderId="0" xfId="0" applyAlignment="1">
      <alignment wrapText="1"/>
    </xf>
    <xf numFmtId="0" fontId="7" fillId="4" borderId="0" xfId="0" applyFont="1" applyFill="1" applyAlignment="1">
      <alignment horizontal="center"/>
    </xf>
    <xf numFmtId="0" fontId="9" fillId="2" borderId="0" xfId="0" applyFont="1" applyFill="1" applyAlignment="1">
      <alignment horizontal="center"/>
    </xf>
    <xf numFmtId="0" fontId="8" fillId="0" borderId="0" xfId="0" applyFont="1"/>
    <xf numFmtId="0" fontId="8" fillId="3" borderId="0" xfId="0" applyFont="1" applyFill="1"/>
    <xf numFmtId="167" fontId="8" fillId="0" borderId="0" xfId="0" applyNumberFormat="1" applyFont="1"/>
    <xf numFmtId="167" fontId="8" fillId="3" borderId="0" xfId="0" applyNumberFormat="1" applyFont="1" applyFill="1"/>
    <xf numFmtId="14" fontId="5" fillId="0" borderId="0" xfId="0" applyNumberFormat="1"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showGridLines="0" topLeftCell="A9" workbookViewId="0">
      <selection activeCell="C5" sqref="C5"/>
    </sheetView>
  </sheetViews>
  <sheetFormatPr defaultColWidth="12.6640625" defaultRowHeight="15" customHeight="1" x14ac:dyDescent="0.25"/>
  <cols>
    <col min="1" max="1" width="12.6640625" customWidth="1"/>
    <col min="2" max="2" width="7.44140625" customWidth="1"/>
    <col min="3" max="6" width="12.6640625" customWidth="1"/>
  </cols>
  <sheetData>
    <row r="1" spans="1:11" ht="15.75" customHeight="1" x14ac:dyDescent="0.25">
      <c r="A1" s="1" t="s">
        <v>0</v>
      </c>
    </row>
    <row r="2" spans="1:11" ht="15.75" customHeight="1" x14ac:dyDescent="0.25"/>
    <row r="3" spans="1:11" ht="15.75" customHeight="1" x14ac:dyDescent="0.3">
      <c r="B3" s="2" t="s">
        <v>1</v>
      </c>
    </row>
    <row r="4" spans="1:11" ht="15.75" customHeight="1" x14ac:dyDescent="0.3">
      <c r="C4" s="3" t="s">
        <v>2</v>
      </c>
    </row>
    <row r="5" spans="1:11" ht="15.75" customHeight="1" x14ac:dyDescent="0.3">
      <c r="B5" s="4"/>
      <c r="C5" s="3" t="s">
        <v>3</v>
      </c>
    </row>
    <row r="6" spans="1:11" ht="15.75" customHeight="1" x14ac:dyDescent="0.3">
      <c r="B6" s="4"/>
    </row>
    <row r="7" spans="1:11" ht="15.75" customHeight="1" x14ac:dyDescent="0.3">
      <c r="B7" s="2" t="s">
        <v>4</v>
      </c>
    </row>
    <row r="8" spans="1:11" ht="15.75" customHeight="1" x14ac:dyDescent="0.3">
      <c r="C8" s="3" t="s">
        <v>5</v>
      </c>
    </row>
    <row r="9" spans="1:11" ht="15.75" customHeight="1" x14ac:dyDescent="0.3">
      <c r="C9" s="3" t="s">
        <v>6</v>
      </c>
    </row>
    <row r="10" spans="1:11" ht="15.75" customHeight="1" x14ac:dyDescent="0.3">
      <c r="C10" s="3" t="s">
        <v>7</v>
      </c>
    </row>
    <row r="11" spans="1:11" ht="15.75" customHeight="1" x14ac:dyDescent="0.3">
      <c r="B11" s="4"/>
    </row>
    <row r="12" spans="1:11" ht="15.75" customHeight="1" x14ac:dyDescent="0.3">
      <c r="B12" s="2" t="s">
        <v>8</v>
      </c>
    </row>
    <row r="13" spans="1:11" ht="15.75" customHeight="1" x14ac:dyDescent="0.3">
      <c r="B13" s="2"/>
      <c r="C13" s="3" t="s">
        <v>9</v>
      </c>
    </row>
    <row r="14" spans="1:11" ht="15.75" customHeight="1" x14ac:dyDescent="0.25"/>
    <row r="15" spans="1:11" ht="15.75" customHeight="1" x14ac:dyDescent="0.3">
      <c r="B15" s="2" t="s">
        <v>10</v>
      </c>
      <c r="C15" s="5"/>
      <c r="D15" s="5"/>
      <c r="E15" s="5"/>
      <c r="F15" s="5"/>
      <c r="G15" s="5"/>
      <c r="H15" s="5"/>
      <c r="I15" s="5"/>
      <c r="J15" s="5"/>
      <c r="K15" s="5"/>
    </row>
    <row r="16" spans="1:11" ht="15.75" customHeight="1" x14ac:dyDescent="0.3">
      <c r="B16" s="5"/>
      <c r="C16" s="3" t="s">
        <v>11</v>
      </c>
      <c r="D16" s="5"/>
      <c r="E16" s="5"/>
      <c r="F16" s="5"/>
      <c r="G16" s="5"/>
      <c r="H16" s="5"/>
      <c r="I16" s="5"/>
      <c r="J16" s="5"/>
      <c r="K16" s="5"/>
    </row>
    <row r="17" spans="2:11" ht="15.75" customHeight="1" x14ac:dyDescent="0.3">
      <c r="B17" s="5"/>
      <c r="C17" s="3" t="s">
        <v>12</v>
      </c>
      <c r="D17" s="5"/>
      <c r="E17" s="5"/>
      <c r="F17" s="5"/>
      <c r="G17" s="5"/>
      <c r="H17" s="5"/>
      <c r="I17" s="5"/>
      <c r="J17" s="5"/>
      <c r="K17" s="5"/>
    </row>
    <row r="18" spans="2:11" ht="15.75" customHeight="1" x14ac:dyDescent="0.25">
      <c r="B18" s="5"/>
      <c r="C18" s="5"/>
      <c r="D18" s="5"/>
      <c r="E18" s="5"/>
      <c r="F18" s="5"/>
      <c r="G18" s="5"/>
      <c r="H18" s="5"/>
      <c r="I18" s="5"/>
      <c r="J18" s="5"/>
      <c r="K18" s="5"/>
    </row>
    <row r="19" spans="2:11" ht="15.75" customHeight="1" x14ac:dyDescent="0.3">
      <c r="B19" s="2" t="s">
        <v>13</v>
      </c>
      <c r="C19" s="5"/>
      <c r="D19" s="5"/>
      <c r="E19" s="5"/>
      <c r="F19" s="5"/>
      <c r="G19" s="5"/>
      <c r="H19" s="5"/>
      <c r="I19" s="5"/>
      <c r="J19" s="5"/>
      <c r="K19" s="5"/>
    </row>
    <row r="20" spans="2:11" ht="15.75" customHeight="1" x14ac:dyDescent="0.3">
      <c r="B20" s="5"/>
      <c r="C20" s="3" t="s">
        <v>14</v>
      </c>
      <c r="D20" s="5"/>
      <c r="E20" s="5"/>
      <c r="F20" s="5"/>
      <c r="G20" s="5"/>
      <c r="H20" s="5"/>
      <c r="I20" s="5"/>
      <c r="J20" s="5"/>
      <c r="K20" s="5"/>
    </row>
    <row r="21" spans="2:11" ht="15.75" customHeight="1" x14ac:dyDescent="0.3">
      <c r="B21" s="5"/>
      <c r="C21" s="3" t="s">
        <v>15</v>
      </c>
      <c r="D21" s="5"/>
      <c r="E21" s="5"/>
      <c r="F21" s="5"/>
      <c r="G21" s="5"/>
      <c r="H21" s="5"/>
      <c r="I21" s="5"/>
      <c r="J21" s="5"/>
      <c r="K21" s="5"/>
    </row>
    <row r="22" spans="2:11" ht="15.75" customHeight="1" x14ac:dyDescent="0.25">
      <c r="B22" s="5"/>
      <c r="C22" s="5"/>
      <c r="D22" s="5"/>
      <c r="E22" s="5"/>
      <c r="F22" s="5"/>
      <c r="G22" s="5"/>
      <c r="H22" s="5"/>
      <c r="I22" s="5"/>
      <c r="J22" s="5"/>
      <c r="K22" s="5"/>
    </row>
    <row r="23" spans="2:11" ht="15.75" customHeight="1" x14ac:dyDescent="0.3">
      <c r="B23" s="2" t="s">
        <v>16</v>
      </c>
      <c r="C23" s="5"/>
      <c r="D23" s="5"/>
      <c r="E23" s="5"/>
      <c r="F23" s="5"/>
      <c r="G23" s="5"/>
      <c r="H23" s="5"/>
      <c r="I23" s="5"/>
      <c r="J23" s="5"/>
      <c r="K23" s="5"/>
    </row>
    <row r="24" spans="2:11" ht="15.75" customHeight="1" x14ac:dyDescent="0.3">
      <c r="B24" s="5"/>
      <c r="C24" s="3" t="s">
        <v>17</v>
      </c>
      <c r="D24" s="5"/>
      <c r="E24" s="5"/>
      <c r="F24" s="5"/>
      <c r="G24" s="5"/>
      <c r="H24" s="5"/>
      <c r="I24" s="5"/>
      <c r="J24" s="5"/>
      <c r="K24" s="5"/>
    </row>
    <row r="25" spans="2:11" ht="15.75" customHeight="1" x14ac:dyDescent="0.3">
      <c r="B25" s="5"/>
      <c r="C25" s="3" t="s">
        <v>18</v>
      </c>
      <c r="D25" s="5"/>
      <c r="E25" s="5"/>
      <c r="F25" s="5"/>
      <c r="G25" s="5"/>
      <c r="H25" s="5"/>
      <c r="I25" s="5"/>
      <c r="J25" s="5"/>
      <c r="K25" s="5"/>
    </row>
    <row r="26" spans="2:11" ht="15.75" customHeight="1" x14ac:dyDescent="0.3">
      <c r="B26" s="5"/>
      <c r="C26" s="3"/>
      <c r="D26" s="5"/>
      <c r="E26" s="5"/>
      <c r="F26" s="5"/>
      <c r="G26" s="5"/>
      <c r="H26" s="5"/>
      <c r="I26" s="5"/>
      <c r="J26" s="5"/>
      <c r="K26" s="5"/>
    </row>
    <row r="27" spans="2:11" ht="15.75" customHeight="1" x14ac:dyDescent="0.25">
      <c r="B27" s="5"/>
      <c r="C27" s="5"/>
      <c r="D27" s="6"/>
      <c r="E27" s="5"/>
      <c r="F27" s="5"/>
      <c r="G27" s="5"/>
      <c r="H27" s="5"/>
      <c r="I27" s="5"/>
      <c r="J27" s="5"/>
      <c r="K27" s="5"/>
    </row>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000"/>
  <sheetViews>
    <sheetView topLeftCell="A25" workbookViewId="0">
      <selection activeCell="J14" sqref="J14"/>
    </sheetView>
  </sheetViews>
  <sheetFormatPr defaultColWidth="12.6640625" defaultRowHeight="15" customHeight="1" x14ac:dyDescent="0.25"/>
  <cols>
    <col min="1" max="1" width="12.6640625" customWidth="1"/>
    <col min="2" max="2" width="18.21875" bestFit="1" customWidth="1"/>
    <col min="3" max="3" width="12.88671875" bestFit="1" customWidth="1"/>
    <col min="4" max="5" width="12.6640625" customWidth="1"/>
    <col min="6" max="6" width="21.44140625" bestFit="1" customWidth="1"/>
    <col min="7" max="9" width="12.6640625" customWidth="1"/>
    <col min="11" max="11" width="47.77734375" customWidth="1"/>
    <col min="12" max="12" width="121.88671875" bestFit="1" customWidth="1"/>
  </cols>
  <sheetData>
    <row r="1" spans="1:19" ht="15.75" customHeight="1" x14ac:dyDescent="0.25">
      <c r="A1" s="7" t="s">
        <v>19</v>
      </c>
      <c r="B1" s="12" t="s">
        <v>113</v>
      </c>
      <c r="C1" s="12" t="s">
        <v>114</v>
      </c>
      <c r="D1" s="7" t="s">
        <v>20</v>
      </c>
      <c r="E1" s="7" t="s">
        <v>21</v>
      </c>
      <c r="F1" s="12" t="s">
        <v>115</v>
      </c>
      <c r="G1" s="7" t="s">
        <v>22</v>
      </c>
      <c r="H1" s="7" t="s">
        <v>23</v>
      </c>
      <c r="I1" s="7" t="s">
        <v>24</v>
      </c>
      <c r="K1" s="11"/>
    </row>
    <row r="2" spans="1:19" ht="15.75" customHeight="1" x14ac:dyDescent="0.25">
      <c r="A2" s="5" t="s">
        <v>25</v>
      </c>
      <c r="B2" s="17" t="str">
        <f>LEFT(A2,6)</f>
        <v>28-JAN</v>
      </c>
      <c r="C2" s="5" t="str">
        <f>RIGHT(A2,2)</f>
        <v>US</v>
      </c>
      <c r="D2" s="5" t="s">
        <v>58</v>
      </c>
      <c r="E2" s="5" t="s">
        <v>26</v>
      </c>
      <c r="F2" s="5" t="str">
        <f>D2&amp;" "&amp;E2</f>
        <v>Laptop Dell</v>
      </c>
      <c r="G2" s="15">
        <v>1000</v>
      </c>
      <c r="H2" s="5">
        <v>30</v>
      </c>
      <c r="I2" s="5" t="s">
        <v>27</v>
      </c>
    </row>
    <row r="3" spans="1:19" ht="15.75" customHeight="1" x14ac:dyDescent="0.3">
      <c r="A3" s="8" t="s">
        <v>28</v>
      </c>
      <c r="B3" s="17" t="str">
        <f t="shared" ref="B3:B32" si="0">LEFT(A3,6)</f>
        <v>15-FEB</v>
      </c>
      <c r="C3" s="5" t="str">
        <f t="shared" ref="C3:C32" si="1">RIGHT(A3,2)</f>
        <v>US</v>
      </c>
      <c r="D3" s="8" t="s">
        <v>29</v>
      </c>
      <c r="E3" s="8" t="s">
        <v>30</v>
      </c>
      <c r="F3" s="5" t="str">
        <f t="shared" ref="F3:F32" si="2">D3&amp;" "&amp;E3</f>
        <v>Sneakers Nike</v>
      </c>
      <c r="G3" s="16">
        <v>80</v>
      </c>
      <c r="H3" s="8">
        <v>15</v>
      </c>
      <c r="I3" s="8" t="s">
        <v>31</v>
      </c>
      <c r="L3" s="2"/>
      <c r="M3" s="5"/>
      <c r="N3" s="5"/>
      <c r="O3" s="5"/>
      <c r="P3" s="5"/>
      <c r="Q3" s="5"/>
      <c r="R3" s="5"/>
      <c r="S3" s="5"/>
    </row>
    <row r="4" spans="1:19" ht="15.6" x14ac:dyDescent="0.3">
      <c r="A4" s="5" t="s">
        <v>32</v>
      </c>
      <c r="B4" s="17" t="str">
        <f t="shared" si="0"/>
        <v>03-MAR</v>
      </c>
      <c r="C4" s="5" t="str">
        <f t="shared" si="1"/>
        <v>US</v>
      </c>
      <c r="D4" s="5" t="s">
        <v>33</v>
      </c>
      <c r="E4" s="5" t="s">
        <v>34</v>
      </c>
      <c r="F4" s="5" t="str">
        <f t="shared" si="2"/>
        <v>Coffee Maker Keurig</v>
      </c>
      <c r="G4" s="15">
        <v>130</v>
      </c>
      <c r="H4" s="5">
        <v>40</v>
      </c>
      <c r="I4" s="5" t="s">
        <v>35</v>
      </c>
      <c r="K4" s="10"/>
      <c r="L4" s="9"/>
      <c r="M4" s="3"/>
      <c r="N4" s="5"/>
      <c r="O4" s="5"/>
      <c r="P4" s="5"/>
      <c r="Q4" s="5"/>
      <c r="R4" s="5"/>
      <c r="S4" s="5"/>
    </row>
    <row r="5" spans="1:19" ht="15.75" customHeight="1" x14ac:dyDescent="0.3">
      <c r="A5" s="8" t="s">
        <v>36</v>
      </c>
      <c r="B5" s="17" t="str">
        <f t="shared" si="0"/>
        <v>11-APR</v>
      </c>
      <c r="C5" s="5" t="str">
        <f t="shared" si="1"/>
        <v>US</v>
      </c>
      <c r="D5" s="8" t="s">
        <v>92</v>
      </c>
      <c r="E5" s="8" t="s">
        <v>37</v>
      </c>
      <c r="F5" s="5" t="str">
        <f t="shared" si="2"/>
        <v>Smartphone Samsung</v>
      </c>
      <c r="G5" s="16">
        <v>900</v>
      </c>
      <c r="H5" s="8">
        <v>25</v>
      </c>
      <c r="I5" s="8" t="s">
        <v>27</v>
      </c>
      <c r="L5" s="5"/>
      <c r="M5" s="3"/>
      <c r="N5" s="5"/>
      <c r="O5" s="5"/>
      <c r="P5" s="5"/>
      <c r="Q5" s="5"/>
      <c r="R5" s="5"/>
      <c r="S5" s="5"/>
    </row>
    <row r="6" spans="1:19" ht="15.75" customHeight="1" x14ac:dyDescent="0.25">
      <c r="A6" s="5" t="s">
        <v>38</v>
      </c>
      <c r="B6" s="17" t="str">
        <f t="shared" si="0"/>
        <v>22-MAY</v>
      </c>
      <c r="C6" s="5" t="str">
        <f t="shared" si="1"/>
        <v>US</v>
      </c>
      <c r="D6" s="5" t="s">
        <v>39</v>
      </c>
      <c r="E6" s="5" t="s">
        <v>40</v>
      </c>
      <c r="F6" s="5" t="str">
        <f t="shared" si="2"/>
        <v>Backpack North Face</v>
      </c>
      <c r="G6" s="15">
        <v>70</v>
      </c>
      <c r="H6" s="5">
        <v>20</v>
      </c>
      <c r="I6" s="13" t="s">
        <v>71</v>
      </c>
    </row>
    <row r="7" spans="1:19" ht="15.75" customHeight="1" x14ac:dyDescent="0.25">
      <c r="A7" s="8" t="s">
        <v>41</v>
      </c>
      <c r="B7" s="17" t="str">
        <f t="shared" si="0"/>
        <v>07-JUN</v>
      </c>
      <c r="C7" s="5" t="str">
        <f t="shared" si="1"/>
        <v>UK</v>
      </c>
      <c r="D7" s="8" t="s">
        <v>42</v>
      </c>
      <c r="E7" s="8" t="s">
        <v>43</v>
      </c>
      <c r="F7" s="5" t="str">
        <f t="shared" si="2"/>
        <v>Headphones Sony</v>
      </c>
      <c r="G7" s="16">
        <v>130</v>
      </c>
      <c r="H7" s="8">
        <v>45</v>
      </c>
      <c r="I7" s="8" t="s">
        <v>27</v>
      </c>
    </row>
    <row r="8" spans="1:19" ht="15.75" customHeight="1" x14ac:dyDescent="0.25">
      <c r="A8" s="5" t="s">
        <v>44</v>
      </c>
      <c r="B8" s="17" t="str">
        <f t="shared" si="0"/>
        <v>19-JUL</v>
      </c>
      <c r="C8" s="5" t="str">
        <f t="shared" si="1"/>
        <v>UK</v>
      </c>
      <c r="D8" s="5" t="s">
        <v>45</v>
      </c>
      <c r="E8" s="5" t="s">
        <v>46</v>
      </c>
      <c r="F8" s="5" t="str">
        <f t="shared" si="2"/>
        <v>T-shirt Adidas</v>
      </c>
      <c r="G8" s="15">
        <v>30</v>
      </c>
      <c r="H8" s="5">
        <v>5</v>
      </c>
      <c r="I8" s="5" t="s">
        <v>31</v>
      </c>
    </row>
    <row r="9" spans="1:19" ht="15.75" customHeight="1" x14ac:dyDescent="0.25">
      <c r="A9" s="8" t="s">
        <v>47</v>
      </c>
      <c r="B9" s="17" t="str">
        <f t="shared" si="0"/>
        <v>23-AUG</v>
      </c>
      <c r="C9" s="5" t="str">
        <f t="shared" si="1"/>
        <v>UK</v>
      </c>
      <c r="D9" s="8" t="s">
        <v>48</v>
      </c>
      <c r="E9" s="8" t="s">
        <v>49</v>
      </c>
      <c r="F9" s="5" t="str">
        <f t="shared" si="2"/>
        <v>Blender Ninja</v>
      </c>
      <c r="G9" s="16">
        <v>90</v>
      </c>
      <c r="H9" s="8">
        <v>35</v>
      </c>
      <c r="I9" s="8" t="s">
        <v>35</v>
      </c>
    </row>
    <row r="10" spans="1:19" ht="15.75" customHeight="1" x14ac:dyDescent="0.25">
      <c r="A10" s="5" t="s">
        <v>50</v>
      </c>
      <c r="B10" s="17" t="str">
        <f t="shared" si="0"/>
        <v>05-SEP</v>
      </c>
      <c r="C10" s="5" t="str">
        <f t="shared" si="1"/>
        <v>UK</v>
      </c>
      <c r="D10" s="5" t="s">
        <v>51</v>
      </c>
      <c r="E10" s="5" t="s">
        <v>52</v>
      </c>
      <c r="F10" s="5" t="str">
        <f t="shared" si="2"/>
        <v>Tablet Apple</v>
      </c>
      <c r="G10" s="15">
        <v>500</v>
      </c>
      <c r="H10" s="5">
        <v>50</v>
      </c>
      <c r="I10" s="5" t="s">
        <v>27</v>
      </c>
    </row>
    <row r="11" spans="1:19" ht="15.75" customHeight="1" x14ac:dyDescent="0.25">
      <c r="A11" s="8" t="s">
        <v>53</v>
      </c>
      <c r="B11" s="17" t="str">
        <f t="shared" si="0"/>
        <v>14-OCT</v>
      </c>
      <c r="C11" s="5" t="str">
        <f t="shared" si="1"/>
        <v>UK</v>
      </c>
      <c r="D11" s="8" t="s">
        <v>54</v>
      </c>
      <c r="E11" s="8" t="s">
        <v>55</v>
      </c>
      <c r="F11" s="5" t="str">
        <f t="shared" si="2"/>
        <v>Hiking Boots Timberland</v>
      </c>
      <c r="G11" s="16">
        <v>130</v>
      </c>
      <c r="H11" s="8">
        <v>10</v>
      </c>
      <c r="I11" s="8" t="s">
        <v>56</v>
      </c>
    </row>
    <row r="12" spans="1:19" ht="15.75" customHeight="1" x14ac:dyDescent="0.25">
      <c r="A12" s="5" t="s">
        <v>57</v>
      </c>
      <c r="B12" s="17" t="str">
        <f t="shared" si="0"/>
        <v>17-JUN</v>
      </c>
      <c r="C12" s="5" t="str">
        <f t="shared" si="1"/>
        <v>IN</v>
      </c>
      <c r="D12" s="5" t="s">
        <v>58</v>
      </c>
      <c r="E12" s="5" t="s">
        <v>59</v>
      </c>
      <c r="F12" s="5" t="str">
        <f t="shared" si="2"/>
        <v>Laptop HP</v>
      </c>
      <c r="G12" s="15">
        <v>950</v>
      </c>
      <c r="H12" s="5">
        <v>25</v>
      </c>
      <c r="I12" s="5" t="s">
        <v>27</v>
      </c>
    </row>
    <row r="13" spans="1:19" ht="15.75" customHeight="1" x14ac:dyDescent="0.25">
      <c r="A13" s="8" t="s">
        <v>60</v>
      </c>
      <c r="B13" s="17" t="str">
        <f t="shared" si="0"/>
        <v>25-NOV</v>
      </c>
      <c r="C13" s="5" t="str">
        <f t="shared" si="1"/>
        <v>AU</v>
      </c>
      <c r="D13" s="8" t="s">
        <v>29</v>
      </c>
      <c r="E13" s="8" t="s">
        <v>46</v>
      </c>
      <c r="F13" s="5" t="str">
        <f t="shared" si="2"/>
        <v>Sneakers Adidas</v>
      </c>
      <c r="G13" s="16">
        <v>90</v>
      </c>
      <c r="H13" s="8">
        <v>40</v>
      </c>
      <c r="I13" s="14" t="s">
        <v>31</v>
      </c>
    </row>
    <row r="14" spans="1:19" ht="15.75" customHeight="1" x14ac:dyDescent="0.25">
      <c r="A14" s="5" t="s">
        <v>61</v>
      </c>
      <c r="B14" s="17" t="str">
        <f t="shared" si="0"/>
        <v>08-DEC</v>
      </c>
      <c r="C14" s="5" t="str">
        <f t="shared" si="1"/>
        <v>DE</v>
      </c>
      <c r="D14" s="5" t="s">
        <v>33</v>
      </c>
      <c r="E14" s="5" t="s">
        <v>62</v>
      </c>
      <c r="F14" s="5" t="str">
        <f t="shared" si="2"/>
        <v>Coffee Maker Nespresso</v>
      </c>
      <c r="G14" s="15">
        <v>120</v>
      </c>
      <c r="H14" s="5">
        <v>35</v>
      </c>
      <c r="I14" s="13" t="s">
        <v>35</v>
      </c>
    </row>
    <row r="15" spans="1:19" ht="15.75" customHeight="1" x14ac:dyDescent="0.25">
      <c r="A15" s="8" t="s">
        <v>63</v>
      </c>
      <c r="B15" s="17" t="str">
        <f t="shared" si="0"/>
        <v>18-FEB</v>
      </c>
      <c r="C15" s="5" t="str">
        <f t="shared" si="1"/>
        <v>CA</v>
      </c>
      <c r="D15" s="8" t="s">
        <v>64</v>
      </c>
      <c r="E15" s="8" t="s">
        <v>65</v>
      </c>
      <c r="F15" s="5" t="str">
        <f t="shared" si="2"/>
        <v>Smartwatch Fitbit</v>
      </c>
      <c r="G15" s="16">
        <v>150</v>
      </c>
      <c r="H15" s="8">
        <v>15</v>
      </c>
      <c r="I15" s="8" t="s">
        <v>27</v>
      </c>
    </row>
    <row r="16" spans="1:19" ht="15.75" customHeight="1" x14ac:dyDescent="0.25">
      <c r="A16" s="5" t="s">
        <v>66</v>
      </c>
      <c r="B16" s="17" t="str">
        <f t="shared" si="0"/>
        <v>16-APR</v>
      </c>
      <c r="C16" s="5" t="str">
        <f t="shared" si="1"/>
        <v>ES</v>
      </c>
      <c r="D16" s="5" t="s">
        <v>42</v>
      </c>
      <c r="E16" s="5" t="s">
        <v>67</v>
      </c>
      <c r="F16" s="5" t="str">
        <f t="shared" si="2"/>
        <v>Headphones Bose</v>
      </c>
      <c r="G16" s="15">
        <v>250</v>
      </c>
      <c r="H16" s="5">
        <v>20</v>
      </c>
      <c r="I16" s="5" t="s">
        <v>27</v>
      </c>
    </row>
    <row r="17" spans="1:9" ht="15.75" customHeight="1" x14ac:dyDescent="0.25">
      <c r="A17" s="8" t="s">
        <v>68</v>
      </c>
      <c r="B17" s="17" t="str">
        <f t="shared" si="0"/>
        <v>21-AUG</v>
      </c>
      <c r="C17" s="5" t="str">
        <f t="shared" si="1"/>
        <v>CA</v>
      </c>
      <c r="D17" s="8" t="s">
        <v>69</v>
      </c>
      <c r="E17" s="8" t="s">
        <v>70</v>
      </c>
      <c r="F17" s="5" t="str">
        <f t="shared" si="2"/>
        <v>Laptop Bag Samsonite</v>
      </c>
      <c r="G17" s="16">
        <v>50</v>
      </c>
      <c r="H17" s="8">
        <v>35</v>
      </c>
      <c r="I17" s="8" t="s">
        <v>71</v>
      </c>
    </row>
    <row r="18" spans="1:9" ht="15.75" customHeight="1" x14ac:dyDescent="0.25">
      <c r="A18" s="5" t="s">
        <v>72</v>
      </c>
      <c r="B18" s="17" t="str">
        <f t="shared" si="0"/>
        <v>20-AUG</v>
      </c>
      <c r="C18" s="5" t="str">
        <f t="shared" si="1"/>
        <v>CN</v>
      </c>
      <c r="D18" s="5" t="s">
        <v>64</v>
      </c>
      <c r="E18" s="5" t="s">
        <v>73</v>
      </c>
      <c r="F18" s="5" t="str">
        <f t="shared" si="2"/>
        <v>Smartwatch Huawei</v>
      </c>
      <c r="G18" s="15">
        <v>160</v>
      </c>
      <c r="H18" s="5">
        <v>15</v>
      </c>
      <c r="I18" s="5" t="s">
        <v>27</v>
      </c>
    </row>
    <row r="19" spans="1:9" ht="15.75" customHeight="1" x14ac:dyDescent="0.25">
      <c r="A19" s="8" t="s">
        <v>74</v>
      </c>
      <c r="B19" s="17" t="str">
        <f t="shared" si="0"/>
        <v>27-JAN</v>
      </c>
      <c r="C19" s="5" t="str">
        <f t="shared" si="1"/>
        <v>IT</v>
      </c>
      <c r="D19" s="8" t="s">
        <v>58</v>
      </c>
      <c r="E19" s="8" t="s">
        <v>75</v>
      </c>
      <c r="F19" s="5" t="str">
        <f t="shared" si="2"/>
        <v>Laptop Asus</v>
      </c>
      <c r="G19" s="16">
        <v>980</v>
      </c>
      <c r="H19" s="8">
        <v>10</v>
      </c>
      <c r="I19" s="8" t="s">
        <v>27</v>
      </c>
    </row>
    <row r="20" spans="1:9" ht="15.75" customHeight="1" x14ac:dyDescent="0.25">
      <c r="A20" s="5" t="s">
        <v>76</v>
      </c>
      <c r="B20" s="17" t="str">
        <f t="shared" si="0"/>
        <v>01-MAR</v>
      </c>
      <c r="C20" s="5" t="str">
        <f t="shared" si="1"/>
        <v>UK</v>
      </c>
      <c r="D20" s="5" t="s">
        <v>77</v>
      </c>
      <c r="E20" s="5" t="s">
        <v>78</v>
      </c>
      <c r="F20" s="5" t="str">
        <f t="shared" si="2"/>
        <v>Sunglasses Oakley</v>
      </c>
      <c r="G20" s="15">
        <v>150</v>
      </c>
      <c r="H20" s="5">
        <v>15</v>
      </c>
      <c r="I20" s="5" t="s">
        <v>31</v>
      </c>
    </row>
    <row r="21" spans="1:9" ht="15.75" customHeight="1" x14ac:dyDescent="0.25">
      <c r="A21" s="8" t="s">
        <v>79</v>
      </c>
      <c r="B21" s="17" t="str">
        <f t="shared" si="0"/>
        <v>14-AUG</v>
      </c>
      <c r="C21" s="5" t="str">
        <f t="shared" si="1"/>
        <v>US</v>
      </c>
      <c r="D21" s="8" t="s">
        <v>80</v>
      </c>
      <c r="E21" s="8" t="s">
        <v>81</v>
      </c>
      <c r="F21" s="5" t="str">
        <f t="shared" si="2"/>
        <v>Camping Tent Coleman</v>
      </c>
      <c r="G21" s="16">
        <v>130</v>
      </c>
      <c r="H21" s="8">
        <v>10</v>
      </c>
      <c r="I21" s="8" t="s">
        <v>56</v>
      </c>
    </row>
    <row r="22" spans="1:9" ht="15.75" customHeight="1" x14ac:dyDescent="0.25">
      <c r="A22" s="5" t="s">
        <v>82</v>
      </c>
      <c r="B22" s="17" t="str">
        <f t="shared" si="0"/>
        <v>14-MAY</v>
      </c>
      <c r="C22" s="5" t="str">
        <f t="shared" si="1"/>
        <v>RU</v>
      </c>
      <c r="D22" s="5" t="s">
        <v>83</v>
      </c>
      <c r="E22" s="5" t="s">
        <v>84</v>
      </c>
      <c r="F22" s="5" t="str">
        <f t="shared" si="2"/>
        <v>Camera Nikon</v>
      </c>
      <c r="G22" s="15">
        <v>700</v>
      </c>
      <c r="H22" s="5">
        <v>50</v>
      </c>
      <c r="I22" s="5" t="s">
        <v>27</v>
      </c>
    </row>
    <row r="23" spans="1:9" ht="15.75" customHeight="1" x14ac:dyDescent="0.25">
      <c r="A23" s="8" t="s">
        <v>85</v>
      </c>
      <c r="B23" s="17" t="str">
        <f t="shared" si="0"/>
        <v>09-JAN</v>
      </c>
      <c r="C23" s="5" t="str">
        <f t="shared" si="1"/>
        <v>CA</v>
      </c>
      <c r="D23" s="8" t="s">
        <v>86</v>
      </c>
      <c r="E23" s="8" t="s">
        <v>87</v>
      </c>
      <c r="F23" s="5" t="str">
        <f t="shared" si="2"/>
        <v>Microwave Panasonic</v>
      </c>
      <c r="G23" s="16">
        <v>80</v>
      </c>
      <c r="H23" s="8">
        <v>20</v>
      </c>
      <c r="I23" s="8" t="s">
        <v>35</v>
      </c>
    </row>
    <row r="24" spans="1:9" ht="15.75" customHeight="1" x14ac:dyDescent="0.25">
      <c r="A24" s="5" t="s">
        <v>88</v>
      </c>
      <c r="B24" s="17" t="str">
        <f t="shared" si="0"/>
        <v>19-JUL</v>
      </c>
      <c r="C24" s="5" t="str">
        <f t="shared" si="1"/>
        <v>BR</v>
      </c>
      <c r="D24" s="5" t="s">
        <v>89</v>
      </c>
      <c r="E24" s="5" t="s">
        <v>90</v>
      </c>
      <c r="F24" s="5" t="str">
        <f t="shared" si="2"/>
        <v>Fitness Tracker Xiaomi</v>
      </c>
      <c r="G24" s="15">
        <v>150</v>
      </c>
      <c r="H24" s="5">
        <v>30</v>
      </c>
      <c r="I24" s="13" t="s">
        <v>27</v>
      </c>
    </row>
    <row r="25" spans="1:9" ht="15.75" customHeight="1" x14ac:dyDescent="0.25">
      <c r="A25" s="5" t="s">
        <v>91</v>
      </c>
      <c r="B25" s="17" t="str">
        <f t="shared" si="0"/>
        <v>29-SEP</v>
      </c>
      <c r="C25" s="5" t="str">
        <f t="shared" si="1"/>
        <v>CA</v>
      </c>
      <c r="D25" s="5" t="s">
        <v>92</v>
      </c>
      <c r="E25" s="5" t="s">
        <v>93</v>
      </c>
      <c r="F25" s="5" t="str">
        <f t="shared" si="2"/>
        <v>Smartphone Google</v>
      </c>
      <c r="G25" s="15">
        <v>800</v>
      </c>
      <c r="H25" s="5">
        <v>45</v>
      </c>
      <c r="I25" s="5" t="s">
        <v>27</v>
      </c>
    </row>
    <row r="26" spans="1:9" ht="15.75" customHeight="1" x14ac:dyDescent="0.25">
      <c r="A26" s="8" t="s">
        <v>94</v>
      </c>
      <c r="B26" s="17" t="str">
        <f t="shared" si="0"/>
        <v>03-JUN</v>
      </c>
      <c r="C26" s="5" t="str">
        <f t="shared" si="1"/>
        <v>CA</v>
      </c>
      <c r="D26" s="8" t="s">
        <v>77</v>
      </c>
      <c r="E26" s="8" t="s">
        <v>95</v>
      </c>
      <c r="F26" s="5" t="str">
        <f t="shared" si="2"/>
        <v>Sunglasses Ray-Ban</v>
      </c>
      <c r="G26" s="16">
        <v>130</v>
      </c>
      <c r="H26" s="8">
        <v>25</v>
      </c>
      <c r="I26" s="8" t="s">
        <v>31</v>
      </c>
    </row>
    <row r="27" spans="1:9" ht="15.75" customHeight="1" x14ac:dyDescent="0.25">
      <c r="A27" s="5" t="s">
        <v>96</v>
      </c>
      <c r="B27" s="17" t="str">
        <f t="shared" si="0"/>
        <v>11-JUL</v>
      </c>
      <c r="C27" s="5" t="str">
        <f t="shared" si="1"/>
        <v>CA</v>
      </c>
      <c r="D27" s="5" t="s">
        <v>48</v>
      </c>
      <c r="E27" s="5" t="s">
        <v>97</v>
      </c>
      <c r="F27" s="5" t="str">
        <f t="shared" si="2"/>
        <v>Blender Vitamix</v>
      </c>
      <c r="G27" s="15">
        <v>400</v>
      </c>
      <c r="H27" s="5">
        <v>40</v>
      </c>
      <c r="I27" s="5" t="s">
        <v>35</v>
      </c>
    </row>
    <row r="28" spans="1:9" ht="15.75" customHeight="1" x14ac:dyDescent="0.25">
      <c r="A28" s="5" t="s">
        <v>98</v>
      </c>
      <c r="B28" s="17" t="str">
        <f t="shared" si="0"/>
        <v>07-MAR</v>
      </c>
      <c r="C28" s="5" t="str">
        <f t="shared" si="1"/>
        <v>CA</v>
      </c>
      <c r="D28" s="5" t="s">
        <v>99</v>
      </c>
      <c r="E28" s="5" t="s">
        <v>100</v>
      </c>
      <c r="F28" s="5" t="str">
        <f t="shared" si="2"/>
        <v>Dress Zara</v>
      </c>
      <c r="G28" s="15">
        <v>60</v>
      </c>
      <c r="H28" s="5">
        <v>30</v>
      </c>
      <c r="I28" s="5" t="s">
        <v>31</v>
      </c>
    </row>
    <row r="29" spans="1:9" ht="15.75" customHeight="1" x14ac:dyDescent="0.25">
      <c r="A29" s="8" t="s">
        <v>101</v>
      </c>
      <c r="B29" s="17" t="str">
        <f t="shared" si="0"/>
        <v>13-APR</v>
      </c>
      <c r="C29" s="5" t="str">
        <f t="shared" si="1"/>
        <v>CA</v>
      </c>
      <c r="D29" s="8" t="s">
        <v>102</v>
      </c>
      <c r="E29" s="8" t="s">
        <v>103</v>
      </c>
      <c r="F29" s="5" t="str">
        <f t="shared" si="2"/>
        <v>Toaster Hamilton</v>
      </c>
      <c r="G29" s="16">
        <v>40</v>
      </c>
      <c r="H29" s="8">
        <v>10</v>
      </c>
      <c r="I29" s="8" t="s">
        <v>35</v>
      </c>
    </row>
    <row r="30" spans="1:9" ht="15.75" customHeight="1" x14ac:dyDescent="0.25">
      <c r="A30" s="5" t="s">
        <v>104</v>
      </c>
      <c r="B30" s="17" t="str">
        <f t="shared" si="0"/>
        <v>24-MAY</v>
      </c>
      <c r="C30" s="5" t="str">
        <f t="shared" si="1"/>
        <v>CA</v>
      </c>
      <c r="D30" s="5" t="s">
        <v>89</v>
      </c>
      <c r="E30" s="5" t="s">
        <v>105</v>
      </c>
      <c r="F30" s="5" t="str">
        <f t="shared" si="2"/>
        <v>Fitness Tracker Garmin</v>
      </c>
      <c r="G30" s="15">
        <v>130</v>
      </c>
      <c r="H30" s="5">
        <v>5</v>
      </c>
      <c r="I30" s="5" t="s">
        <v>27</v>
      </c>
    </row>
    <row r="31" spans="1:9" ht="15.75" customHeight="1" x14ac:dyDescent="0.25">
      <c r="A31" s="8" t="s">
        <v>106</v>
      </c>
      <c r="B31" s="17" t="str">
        <f t="shared" si="0"/>
        <v>02-DEC</v>
      </c>
      <c r="C31" s="5" t="str">
        <f t="shared" si="1"/>
        <v>CA</v>
      </c>
      <c r="D31" s="8" t="s">
        <v>107</v>
      </c>
      <c r="E31" s="8" t="s">
        <v>108</v>
      </c>
      <c r="F31" s="5" t="str">
        <f t="shared" si="2"/>
        <v>Jeans Levi's</v>
      </c>
      <c r="G31" s="16">
        <v>50</v>
      </c>
      <c r="H31" s="8">
        <v>50</v>
      </c>
      <c r="I31" s="8" t="s">
        <v>31</v>
      </c>
    </row>
    <row r="32" spans="1:9" ht="15.75" customHeight="1" x14ac:dyDescent="0.25">
      <c r="A32" s="8" t="s">
        <v>109</v>
      </c>
      <c r="B32" s="17" t="str">
        <f t="shared" si="0"/>
        <v>09-JUL</v>
      </c>
      <c r="C32" s="5" t="str">
        <f t="shared" si="1"/>
        <v>FR</v>
      </c>
      <c r="D32" s="8" t="s">
        <v>110</v>
      </c>
      <c r="E32" s="8" t="s">
        <v>111</v>
      </c>
      <c r="F32" s="5" t="str">
        <f t="shared" si="2"/>
        <v>Watch Casio</v>
      </c>
      <c r="G32" s="16">
        <v>100</v>
      </c>
      <c r="H32" s="8">
        <v>20</v>
      </c>
      <c r="I32" s="8" t="s">
        <v>71</v>
      </c>
    </row>
    <row r="33" spans="1:1" ht="15.75" customHeight="1" x14ac:dyDescent="0.25"/>
    <row r="34" spans="1:1" ht="15.75" customHeight="1" x14ac:dyDescent="0.25"/>
    <row r="35" spans="1:1" ht="15.75" customHeight="1" x14ac:dyDescent="0.25">
      <c r="A35">
        <f>MEDIAN(G2:G32)</f>
        <v>130</v>
      </c>
    </row>
    <row r="36" spans="1:1" ht="15.75" customHeight="1" x14ac:dyDescent="0.25"/>
    <row r="37" spans="1:1" ht="15.75" customHeight="1" x14ac:dyDescent="0.25"/>
    <row r="38" spans="1:1" ht="15.75" customHeight="1" x14ac:dyDescent="0.25"/>
    <row r="39" spans="1:1" ht="15.75" customHeight="1" x14ac:dyDescent="0.25"/>
    <row r="40" spans="1:1" ht="15.75" customHeight="1" x14ac:dyDescent="0.25"/>
    <row r="41" spans="1:1" ht="15.75" customHeight="1" x14ac:dyDescent="0.25"/>
    <row r="42" spans="1:1" ht="15.75" customHeight="1" x14ac:dyDescent="0.25"/>
    <row r="43" spans="1:1" ht="15.75" customHeight="1" x14ac:dyDescent="0.25"/>
    <row r="44" spans="1:1" ht="15.75" customHeight="1" x14ac:dyDescent="0.25"/>
    <row r="45" spans="1:1" ht="15.75" customHeight="1" x14ac:dyDescent="0.25"/>
    <row r="46" spans="1:1" ht="15.75" customHeight="1" x14ac:dyDescent="0.25"/>
    <row r="47" spans="1:1" ht="15.75" customHeight="1" x14ac:dyDescent="0.25"/>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Consolidate/>
  <conditionalFormatting sqref="G2:G32">
    <cfRule type="dataBar" priority="2">
      <dataBar>
        <cfvo type="min"/>
        <cfvo type="max"/>
        <color rgb="FFFFB628"/>
      </dataBar>
      <extLst>
        <ext xmlns:x14="http://schemas.microsoft.com/office/spreadsheetml/2009/9/main" uri="{B025F937-C7B1-47D3-B67F-A62EFF666E3E}">
          <x14:id>{CF719CDC-23B5-44E8-8B05-88FC81BB0AEF}</x14:id>
        </ext>
      </extLst>
    </cfRule>
  </conditionalFormatting>
  <conditionalFormatting sqref="I2:I32">
    <cfRule type="containsText" dxfId="0" priority="1" operator="containsText" text="Electronics">
      <formula>NOT(ISERROR(SEARCH("Electronics",I2)))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F719CDC-23B5-44E8-8B05-88FC81BB0AEF}">
            <x14:dataBar minLength="0" maxLength="100" border="1" negativeBarBorderColorSameAsPositive="0">
              <x14:cfvo type="autoMin"/>
              <x14:cfvo type="autoMax"/>
              <x14:borderColor rgb="FFFFB628"/>
              <x14:negativeFillColor rgb="FFFF0000"/>
              <x14:negativeBorderColor rgb="FFFF0000"/>
              <x14:axisColor rgb="FF000000"/>
            </x14:dataBar>
          </x14:cfRule>
          <xm:sqref>G2:G32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08A3-6FD1-4485-918F-0E69D6A20183}">
  <dimension ref="A1:A57"/>
  <sheetViews>
    <sheetView tabSelected="1" workbookViewId="0">
      <selection activeCell="A5" sqref="A5"/>
    </sheetView>
  </sheetViews>
  <sheetFormatPr defaultRowHeight="13.2" x14ac:dyDescent="0.25"/>
  <cols>
    <col min="1" max="1" width="179.109375" bestFit="1" customWidth="1"/>
  </cols>
  <sheetData>
    <row r="1" spans="1:1" x14ac:dyDescent="0.25">
      <c r="A1" t="s">
        <v>116</v>
      </c>
    </row>
    <row r="3" spans="1:1" x14ac:dyDescent="0.25">
      <c r="A3" t="s">
        <v>117</v>
      </c>
    </row>
    <row r="5" spans="1:1" x14ac:dyDescent="0.25">
      <c r="A5" t="s">
        <v>112</v>
      </c>
    </row>
    <row r="7" spans="1:1" x14ac:dyDescent="0.25">
      <c r="A7" t="s">
        <v>118</v>
      </c>
    </row>
    <row r="9" spans="1:1" x14ac:dyDescent="0.25">
      <c r="A9" t="s">
        <v>119</v>
      </c>
    </row>
    <row r="11" spans="1:1" x14ac:dyDescent="0.25">
      <c r="A11" t="s">
        <v>120</v>
      </c>
    </row>
    <row r="13" spans="1:1" x14ac:dyDescent="0.25">
      <c r="A13" t="s">
        <v>121</v>
      </c>
    </row>
    <row r="15" spans="1:1" x14ac:dyDescent="0.25">
      <c r="A15" t="s">
        <v>122</v>
      </c>
    </row>
    <row r="17" spans="1:1" x14ac:dyDescent="0.25">
      <c r="A17" t="s">
        <v>123</v>
      </c>
    </row>
    <row r="19" spans="1:1" x14ac:dyDescent="0.25">
      <c r="A19" t="s">
        <v>124</v>
      </c>
    </row>
    <row r="21" spans="1:1" x14ac:dyDescent="0.25">
      <c r="A21" t="s">
        <v>125</v>
      </c>
    </row>
    <row r="23" spans="1:1" x14ac:dyDescent="0.25">
      <c r="A23" t="s">
        <v>126</v>
      </c>
    </row>
    <row r="25" spans="1:1" x14ac:dyDescent="0.25">
      <c r="A25" t="s">
        <v>127</v>
      </c>
    </row>
    <row r="27" spans="1:1" x14ac:dyDescent="0.25">
      <c r="A27" t="s">
        <v>128</v>
      </c>
    </row>
    <row r="29" spans="1:1" x14ac:dyDescent="0.25">
      <c r="A29" t="s">
        <v>129</v>
      </c>
    </row>
    <row r="31" spans="1:1" x14ac:dyDescent="0.25">
      <c r="A31" t="s">
        <v>130</v>
      </c>
    </row>
    <row r="33" spans="1:1" x14ac:dyDescent="0.25">
      <c r="A33" t="s">
        <v>131</v>
      </c>
    </row>
    <row r="35" spans="1:1" x14ac:dyDescent="0.25">
      <c r="A35" t="s">
        <v>132</v>
      </c>
    </row>
    <row r="37" spans="1:1" x14ac:dyDescent="0.25">
      <c r="A37" t="s">
        <v>133</v>
      </c>
    </row>
    <row r="39" spans="1:1" x14ac:dyDescent="0.25">
      <c r="A39" t="s">
        <v>134</v>
      </c>
    </row>
    <row r="41" spans="1:1" x14ac:dyDescent="0.25">
      <c r="A41" t="s">
        <v>135</v>
      </c>
    </row>
    <row r="43" spans="1:1" x14ac:dyDescent="0.25">
      <c r="A43" t="s">
        <v>136</v>
      </c>
    </row>
    <row r="45" spans="1:1" x14ac:dyDescent="0.25">
      <c r="A45" t="s">
        <v>137</v>
      </c>
    </row>
    <row r="47" spans="1:1" x14ac:dyDescent="0.25">
      <c r="A47" t="s">
        <v>138</v>
      </c>
    </row>
    <row r="49" spans="1:1" x14ac:dyDescent="0.25">
      <c r="A49" t="s">
        <v>139</v>
      </c>
    </row>
    <row r="51" spans="1:1" x14ac:dyDescent="0.25">
      <c r="A51" t="s">
        <v>140</v>
      </c>
    </row>
    <row r="53" spans="1:1" x14ac:dyDescent="0.25">
      <c r="A53" t="s">
        <v>141</v>
      </c>
    </row>
    <row r="55" spans="1:1" x14ac:dyDescent="0.25">
      <c r="A55" t="s">
        <v>142</v>
      </c>
    </row>
    <row r="57" spans="1:1" x14ac:dyDescent="0.25">
      <c r="A57"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Dataset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jobin joy</cp:lastModifiedBy>
  <dcterms:modified xsi:type="dcterms:W3CDTF">2026-10-21T18:09:50Z</dcterms:modified>
</cp:coreProperties>
</file>